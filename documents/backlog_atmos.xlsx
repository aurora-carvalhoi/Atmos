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47aa5dd819dd88/Desktop/Atmos/documents/"/>
    </mc:Choice>
  </mc:AlternateContent>
  <xr:revisionPtr revIDLastSave="70" documentId="8_{49818CB5-BCCE-41CC-8413-E1C28DA3E463}" xr6:coauthVersionLast="47" xr6:coauthVersionMax="47" xr10:uidLastSave="{54345960-ECB7-4D15-8AC3-97A6F01F004A}"/>
  <bookViews>
    <workbookView xWindow="-108" yWindow="-108" windowWidth="23256" windowHeight="13896" xr2:uid="{B778ACF6-2913-43EF-AFE6-AC9B8CA95E6D}"/>
  </bookViews>
  <sheets>
    <sheet name="Backlog" sheetId="1" r:id="rId1"/>
    <sheet name="Lista - Validaçõ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C14" i="2" s="1"/>
  <c r="L5" i="1"/>
  <c r="B13" i="2" s="1"/>
  <c r="L6" i="1"/>
  <c r="B14" i="2" s="1"/>
  <c r="K5" i="1"/>
  <c r="K6" i="1"/>
  <c r="L3" i="1"/>
  <c r="M4" i="1"/>
  <c r="C12" i="2" s="1"/>
  <c r="L4" i="1"/>
  <c r="B12" i="2" s="1"/>
  <c r="K4" i="1"/>
  <c r="K7" i="1"/>
  <c r="K3" i="1"/>
  <c r="N5" i="1" l="1"/>
  <c r="C13" i="2"/>
  <c r="N6" i="1"/>
  <c r="N4" i="1"/>
</calcChain>
</file>

<file path=xl/sharedStrings.xml><?xml version="1.0" encoding="utf-8"?>
<sst xmlns="http://schemas.openxmlformats.org/spreadsheetml/2006/main" count="180" uniqueCount="74">
  <si>
    <t>REQUISITOS</t>
  </si>
  <si>
    <t>DESCRIÇÃO</t>
  </si>
  <si>
    <t>CLASSIFICAÇÃO</t>
  </si>
  <si>
    <t>TAMANHO</t>
  </si>
  <si>
    <t>TAM(#)</t>
  </si>
  <si>
    <t>PRIORIDADE</t>
  </si>
  <si>
    <t>SPRINT</t>
  </si>
  <si>
    <t>STATUS</t>
  </si>
  <si>
    <t>PESO</t>
  </si>
  <si>
    <t>PP</t>
  </si>
  <si>
    <t>ENTREGUE</t>
  </si>
  <si>
    <t>Essencial</t>
  </si>
  <si>
    <t>P</t>
  </si>
  <si>
    <t>PENDENTE</t>
  </si>
  <si>
    <t>Desejável</t>
  </si>
  <si>
    <t>M</t>
  </si>
  <si>
    <t>Importante</t>
  </si>
  <si>
    <t>G</t>
  </si>
  <si>
    <t>GG</t>
  </si>
  <si>
    <t>SP1</t>
  </si>
  <si>
    <t>SP2</t>
  </si>
  <si>
    <t>SP3</t>
  </si>
  <si>
    <t>Conterá o contexto e justificativa da criação do projeto</t>
  </si>
  <si>
    <t>Criação de personas - perfil de usuário - que utilizará nosso site</t>
  </si>
  <si>
    <t>Elencar os requisitos necessários para a realização do projeto</t>
  </si>
  <si>
    <t>Criar o ambiente de gestão no Planner para organização da equipe</t>
  </si>
  <si>
    <t>Desenvolver o protótipo do site institucional no figma - No qual, contém página de login, cadastro, sobre a empresa e Dashboard.</t>
  </si>
  <si>
    <t>A partir de  Histórias do Usuário entender como nosso projeto pode atender suas necessidades</t>
  </si>
  <si>
    <t>Criar a modelagem lógica do banco de dados</t>
  </si>
  <si>
    <t>Formato de pacote baseado em ZIP usado para agrupar múltiplos arquivos de classe Java</t>
  </si>
  <si>
    <t>Implementada e documentada para um maior controle</t>
  </si>
  <si>
    <t>Armazenar a captura de dados em Arquivo .CSV</t>
  </si>
  <si>
    <t>Criar um entendimento sobre o funcionamento da ferramenta Slack</t>
  </si>
  <si>
    <t>Script das tabelas no Banco de Dados MySQL</t>
  </si>
  <si>
    <t>Implementar hash de senha no banco de dados</t>
  </si>
  <si>
    <t>Desenvolver prototipagente da tela de dashborad</t>
  </si>
  <si>
    <t>Criar Documentação</t>
  </si>
  <si>
    <t>Desenvolver Proto-Persona</t>
  </si>
  <si>
    <t>Desenvolver Backlog</t>
  </si>
  <si>
    <t>Organizar Ferramenta de Gestão</t>
  </si>
  <si>
    <t>Prototipar  site institucional - Figma</t>
  </si>
  <si>
    <t>Prototipar  Dashboard</t>
  </si>
  <si>
    <t>Organizar Ferramenta Slack</t>
  </si>
  <si>
    <t>Criar User Stories</t>
  </si>
  <si>
    <t>Desenvolver Modelagem Lógica</t>
  </si>
  <si>
    <t>Desenvolver Executável .jar</t>
  </si>
  <si>
    <t>Desenvolver Politica de gestão de acessos</t>
  </si>
  <si>
    <t>Desenvolver Python configurado na EC2</t>
  </si>
  <si>
    <t>Desenvolver Capturar dados (CPU, RAM e Disco) de máquina via Python</t>
  </si>
  <si>
    <t>Desenvolver Instância provisionada em EC2</t>
  </si>
  <si>
    <t>Criar Hash de Senha BD</t>
  </si>
  <si>
    <t>Desenvolver responsividade so site para todos os tipos de tela, inclusive mobile</t>
  </si>
  <si>
    <t>Desenvolver Homepage</t>
  </si>
  <si>
    <t>Desenvolver tela de login</t>
  </si>
  <si>
    <t>Criar tela homepage do site institucional</t>
  </si>
  <si>
    <t>Criar tela de login do site institucional</t>
  </si>
  <si>
    <t>Criar três telas de cadastro referentes empresa, servidor e o que será monitorado</t>
  </si>
  <si>
    <t>Subir o código de leitura e escrita na EC2</t>
  </si>
  <si>
    <t>Desenvolver código de escrita que captura de dados de máquina e salva em um .CSV</t>
  </si>
  <si>
    <t>Desenvolver código de leitura de dados de máquina e salva em um .CSV</t>
  </si>
  <si>
    <t>Subir instância na AWS que conterá os códigos necessários</t>
  </si>
  <si>
    <t>Desenvolver telas de cadastro</t>
  </si>
  <si>
    <t>PONTOS FIBONACCI</t>
  </si>
  <si>
    <t>PLANEJADO</t>
  </si>
  <si>
    <t>TOTAL</t>
  </si>
  <si>
    <t>MÉDIA</t>
  </si>
  <si>
    <t>Total</t>
  </si>
  <si>
    <t>Planejado</t>
  </si>
  <si>
    <t>Entregue</t>
  </si>
  <si>
    <t>Desenvolver Gerenciamento de Banco de Dados</t>
  </si>
  <si>
    <t>Desenvolver Leitura dados (CPU, RAM e Disco) de máquina via Python</t>
  </si>
  <si>
    <t>Implementar responsividade no site institucional</t>
  </si>
  <si>
    <t>Desenvolver tela sobre</t>
  </si>
  <si>
    <t>Criar tela sobre referente 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</si>
</sst>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4AA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rgb="FF004AAD"/>
        <bgColor theme="9"/>
      </patternFill>
    </fill>
  </fills>
  <borders count="11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1" fillId="8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4" borderId="0" xfId="0" applyFill="1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4A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PLANEJADO</a:t>
            </a:r>
            <a:r>
              <a:rPr lang="pt-BR" baseline="0"/>
              <a:t> X ENTREGUE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'Lista - Validações'!$B$11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'Lista - Validações'!$A$12:$A$14</c:f>
              <c:strCache>
                <c:ptCount val="3"/>
                <c:pt idx="0">
                  <c:v>SP1</c:v>
                </c:pt>
                <c:pt idx="1">
                  <c:v>SP2</c:v>
                </c:pt>
                <c:pt idx="2">
                  <c:v>SP3</c:v>
                </c:pt>
              </c:strCache>
            </c:strRef>
          </c:cat>
          <c:val>
            <c:numRef>
              <c:f>'Lista - Validações'!$B$12:$B$14</c:f>
              <c:numCache>
                <c:formatCode>General</c:formatCode>
                <c:ptCount val="3"/>
                <c:pt idx="0">
                  <c:v>145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6-46DD-9321-4A07144E7EE7}"/>
            </c:ext>
          </c:extLst>
        </c:ser>
        <c:ser>
          <c:idx val="1"/>
          <c:order val="1"/>
          <c:tx>
            <c:strRef>
              <c:f>'Lista - Validações'!$C$11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'Lista - Validações'!$A$12:$A$14</c:f>
              <c:strCache>
                <c:ptCount val="3"/>
                <c:pt idx="0">
                  <c:v>SP1</c:v>
                </c:pt>
                <c:pt idx="1">
                  <c:v>SP2</c:v>
                </c:pt>
                <c:pt idx="2">
                  <c:v>SP3</c:v>
                </c:pt>
              </c:strCache>
            </c:strRef>
          </c:cat>
          <c:val>
            <c:numRef>
              <c:f>'Lista - Validações'!$C$12:$C$14</c:f>
              <c:numCache>
                <c:formatCode>General</c:formatCode>
                <c:ptCount val="3"/>
                <c:pt idx="0">
                  <c:v>101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6-46DD-9321-4A07144E7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516176"/>
        <c:axId val="1023518096"/>
      </c:lineChart>
      <c:catAx>
        <c:axId val="10235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3518096"/>
        <c:crosses val="autoZero"/>
        <c:auto val="1"/>
        <c:lblAlgn val="ctr"/>
        <c:lblOffset val="100"/>
        <c:noMultiLvlLbl val="0"/>
      </c:catAx>
      <c:valAx>
        <c:axId val="10235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351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2606500</xdr:colOff>
      <xdr:row>0</xdr:row>
      <xdr:rowOff>73078</xdr:rowOff>
    </xdr:from>
    <xdr:to>
      <xdr:col>1</xdr:col>
      <xdr:colOff>4511499</xdr:colOff>
      <xdr:row>0</xdr:row>
      <xdr:rowOff>1282888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27DA00-D8D9-4806-B8BB-8F1E5ED7AF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60" t="28351" r="19382" b="30206"/>
        <a:stretch>
          <a:fillRect/>
        </a:stretch>
      </xdr:blipFill>
      <xdr:spPr>
        <a:xfrm>
          <a:off x="6618476" y="73078"/>
          <a:ext cx="1904999" cy="1209810"/>
        </a:xfrm>
        <a:prstGeom prst="rect">
          <a:avLst/>
        </a:prstGeom>
      </xdr:spPr>
    </xdr:pic>
    <xdr:clientData/>
  </xdr:twoCellAnchor>
  <xdr:twoCellAnchor>
    <xdr:from>
      <xdr:col>9</xdr:col>
      <xdr:colOff>18361</xdr:colOff>
      <xdr:row>8</xdr:row>
      <xdr:rowOff>128530</xdr:rowOff>
    </xdr:from>
    <xdr:to>
      <xdr:col>14</xdr:col>
      <xdr:colOff>36723</xdr:colOff>
      <xdr:row>23</xdr:row>
      <xdr:rowOff>117513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3209FD1-FFB7-48BF-9C12-730F6DFA3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3D68-5FF0-4B09-AF11-20EA4B06C9C2}">
  <dimension ref="A1:N25"/>
  <sheetViews>
    <sheetView showGridLines="0" tabSelected="1" topLeftCell="B1" zoomScale="83" workbookViewId="0">
      <selection activeCell="M2" sqref="M2"/>
    </sheetView>
  </sheetViews>
  <sheetFormatPr defaultRowHeight="14.4" x14ac:dyDescent="0.3"/>
  <cols>
    <col min="1" max="1" width="58.5546875" bestFit="1" customWidth="1"/>
    <col min="2" max="2" width="104.77734375" bestFit="1" customWidth="1"/>
    <col min="3" max="3" width="14.6640625" style="4" bestFit="1" customWidth="1"/>
    <col min="4" max="4" width="9.5546875" style="4" bestFit="1" customWidth="1"/>
    <col min="5" max="5" width="6.77734375" style="4" bestFit="1" customWidth="1"/>
    <col min="6" max="6" width="11.33203125" style="4" bestFit="1" customWidth="1"/>
    <col min="7" max="7" width="7.109375" style="4" bestFit="1" customWidth="1"/>
    <col min="8" max="8" width="9.88671875" style="4" bestFit="1" customWidth="1"/>
    <col min="10" max="10" width="12.21875" bestFit="1" customWidth="1"/>
    <col min="11" max="11" width="22.5546875" bestFit="1" customWidth="1"/>
    <col min="12" max="12" width="15.21875" bestFit="1" customWidth="1"/>
    <col min="13" max="14" width="14.33203125" bestFit="1" customWidth="1"/>
  </cols>
  <sheetData>
    <row r="1" spans="1:14" ht="105.6" customHeight="1" x14ac:dyDescent="0.3">
      <c r="A1" s="14"/>
      <c r="B1" s="14"/>
      <c r="C1" s="14"/>
      <c r="D1" s="14"/>
      <c r="E1" s="14"/>
      <c r="F1" s="14"/>
      <c r="G1" s="14"/>
      <c r="H1" s="14"/>
    </row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5"/>
      <c r="K2" s="6" t="s">
        <v>62</v>
      </c>
      <c r="L2" s="6" t="s">
        <v>63</v>
      </c>
      <c r="M2" s="7" t="s">
        <v>10</v>
      </c>
      <c r="N2" s="8" t="s">
        <v>13</v>
      </c>
    </row>
    <row r="3" spans="1:14" x14ac:dyDescent="0.3">
      <c r="A3" s="18" t="s">
        <v>36</v>
      </c>
      <c r="B3" s="19" t="s">
        <v>22</v>
      </c>
      <c r="C3" s="20" t="s">
        <v>11</v>
      </c>
      <c r="D3" s="20" t="s">
        <v>12</v>
      </c>
      <c r="E3" s="20">
        <v>5</v>
      </c>
      <c r="F3" s="20">
        <v>1</v>
      </c>
      <c r="G3" s="20" t="s">
        <v>19</v>
      </c>
      <c r="H3" s="21" t="s">
        <v>10</v>
      </c>
      <c r="J3" s="9" t="s">
        <v>64</v>
      </c>
      <c r="K3" s="10">
        <f>SUM($E$1:$E$25)</f>
        <v>145</v>
      </c>
      <c r="L3" s="10">
        <f>SUM($E$1:$E$25)</f>
        <v>145</v>
      </c>
      <c r="M3" s="10"/>
      <c r="N3" s="11"/>
    </row>
    <row r="4" spans="1:14" x14ac:dyDescent="0.3">
      <c r="A4" s="22" t="s">
        <v>37</v>
      </c>
      <c r="B4" s="15" t="s">
        <v>23</v>
      </c>
      <c r="C4" s="16" t="s">
        <v>11</v>
      </c>
      <c r="D4" s="16" t="s">
        <v>12</v>
      </c>
      <c r="E4" s="16">
        <v>5</v>
      </c>
      <c r="F4" s="16">
        <v>2</v>
      </c>
      <c r="G4" s="16" t="s">
        <v>19</v>
      </c>
      <c r="H4" s="23" t="s">
        <v>10</v>
      </c>
      <c r="J4" s="10" t="s">
        <v>19</v>
      </c>
      <c r="K4" s="10">
        <f>SUMIF($G$3:$G$25,J4,$E$3:$E$25)</f>
        <v>145</v>
      </c>
      <c r="L4" s="10">
        <f>SUMIF(G3:G25,J4,E3:E25)</f>
        <v>145</v>
      </c>
      <c r="M4" s="10">
        <f>SUMIFS($E3:$E25,$H3:$H25,$M$2,$G3:$G25,J4)</f>
        <v>101</v>
      </c>
      <c r="N4" s="11">
        <f>L4-M4</f>
        <v>44</v>
      </c>
    </row>
    <row r="5" spans="1:14" x14ac:dyDescent="0.3">
      <c r="A5" s="22" t="s">
        <v>38</v>
      </c>
      <c r="B5" s="15" t="s">
        <v>24</v>
      </c>
      <c r="C5" s="16" t="s">
        <v>11</v>
      </c>
      <c r="D5" s="16" t="s">
        <v>12</v>
      </c>
      <c r="E5" s="16">
        <v>5</v>
      </c>
      <c r="F5" s="16">
        <v>1</v>
      </c>
      <c r="G5" s="16" t="s">
        <v>19</v>
      </c>
      <c r="H5" s="23" t="s">
        <v>10</v>
      </c>
      <c r="J5" s="10" t="s">
        <v>20</v>
      </c>
      <c r="K5" s="10">
        <f>SUMIF($G$3:$G$25,J5,$E$3:$E$25)</f>
        <v>0</v>
      </c>
      <c r="L5" s="10">
        <f>SUMIF(G4:G26,J5,E4:E26)</f>
        <v>0</v>
      </c>
      <c r="M5" s="10">
        <f>SUMIFS($E4:$E26,$H4:$H26,$M$2,$G4:$G26,J5)</f>
        <v>0</v>
      </c>
      <c r="N5" s="11">
        <f>L5-M5</f>
        <v>0</v>
      </c>
    </row>
    <row r="6" spans="1:14" x14ac:dyDescent="0.3">
      <c r="A6" s="22" t="s">
        <v>39</v>
      </c>
      <c r="B6" s="15" t="s">
        <v>25</v>
      </c>
      <c r="C6" s="16" t="s">
        <v>11</v>
      </c>
      <c r="D6" s="16" t="s">
        <v>9</v>
      </c>
      <c r="E6" s="16">
        <v>3</v>
      </c>
      <c r="F6" s="16">
        <v>1</v>
      </c>
      <c r="G6" s="16" t="s">
        <v>19</v>
      </c>
      <c r="H6" s="23" t="s">
        <v>10</v>
      </c>
      <c r="J6" s="10" t="s">
        <v>21</v>
      </c>
      <c r="K6" s="10">
        <f>SUMIF($G$3:$G$25,J6,$E$3:$E$25)</f>
        <v>0</v>
      </c>
      <c r="L6" s="10">
        <f>SUMIF(G5:G27,J6,E5:E27)</f>
        <v>0</v>
      </c>
      <c r="M6" s="10">
        <f>SUMIFS($E5:$E27,$H5:$H27,$M$2,$G5:$G27,J6)</f>
        <v>0</v>
      </c>
      <c r="N6" s="11">
        <f>L6-M6</f>
        <v>0</v>
      </c>
    </row>
    <row r="7" spans="1:14" x14ac:dyDescent="0.3">
      <c r="A7" s="22" t="s">
        <v>40</v>
      </c>
      <c r="B7" s="15" t="s">
        <v>26</v>
      </c>
      <c r="C7" s="16" t="s">
        <v>16</v>
      </c>
      <c r="D7" s="16" t="s">
        <v>9</v>
      </c>
      <c r="E7" s="16">
        <v>3</v>
      </c>
      <c r="F7" s="16">
        <v>2</v>
      </c>
      <c r="G7" s="16" t="s">
        <v>19</v>
      </c>
      <c r="H7" s="23" t="s">
        <v>10</v>
      </c>
      <c r="J7" s="9" t="s">
        <v>65</v>
      </c>
      <c r="K7" s="12">
        <f>ROUND(AVERAGE($E$3:$E$38),2)</f>
        <v>6.3</v>
      </c>
      <c r="L7" s="10"/>
      <c r="M7" s="10"/>
      <c r="N7" s="10"/>
    </row>
    <row r="8" spans="1:14" x14ac:dyDescent="0.3">
      <c r="A8" s="22" t="s">
        <v>41</v>
      </c>
      <c r="B8" s="15" t="s">
        <v>35</v>
      </c>
      <c r="C8" s="16" t="s">
        <v>16</v>
      </c>
      <c r="D8" s="16" t="s">
        <v>12</v>
      </c>
      <c r="E8" s="16">
        <v>5</v>
      </c>
      <c r="F8" s="16">
        <v>2</v>
      </c>
      <c r="G8" s="16" t="s">
        <v>19</v>
      </c>
      <c r="H8" s="23" t="s">
        <v>13</v>
      </c>
    </row>
    <row r="9" spans="1:14" x14ac:dyDescent="0.3">
      <c r="A9" s="22" t="s">
        <v>71</v>
      </c>
      <c r="B9" s="15" t="s">
        <v>51</v>
      </c>
      <c r="C9" s="16" t="s">
        <v>11</v>
      </c>
      <c r="D9" s="16" t="s">
        <v>15</v>
      </c>
      <c r="E9" s="16">
        <v>8</v>
      </c>
      <c r="F9" s="16">
        <v>1</v>
      </c>
      <c r="G9" s="16" t="s">
        <v>19</v>
      </c>
      <c r="H9" s="23" t="s">
        <v>10</v>
      </c>
    </row>
    <row r="10" spans="1:14" x14ac:dyDescent="0.3">
      <c r="A10" s="22" t="s">
        <v>42</v>
      </c>
      <c r="B10" s="15" t="s">
        <v>32</v>
      </c>
      <c r="C10" s="16" t="s">
        <v>11</v>
      </c>
      <c r="D10" s="16" t="s">
        <v>9</v>
      </c>
      <c r="E10" s="16">
        <v>3</v>
      </c>
      <c r="F10" s="16">
        <v>3</v>
      </c>
      <c r="G10" s="16" t="s">
        <v>19</v>
      </c>
      <c r="H10" s="23" t="s">
        <v>13</v>
      </c>
    </row>
    <row r="11" spans="1:14" x14ac:dyDescent="0.3">
      <c r="A11" s="22" t="s">
        <v>43</v>
      </c>
      <c r="B11" s="15" t="s">
        <v>27</v>
      </c>
      <c r="C11" s="16" t="s">
        <v>11</v>
      </c>
      <c r="D11" s="16" t="s">
        <v>12</v>
      </c>
      <c r="E11" s="16">
        <v>5</v>
      </c>
      <c r="F11" s="16">
        <v>1</v>
      </c>
      <c r="G11" s="16" t="s">
        <v>19</v>
      </c>
      <c r="H11" s="23" t="s">
        <v>10</v>
      </c>
    </row>
    <row r="12" spans="1:14" x14ac:dyDescent="0.3">
      <c r="A12" s="22" t="s">
        <v>69</v>
      </c>
      <c r="B12" s="15" t="s">
        <v>33</v>
      </c>
      <c r="C12" s="16" t="s">
        <v>11</v>
      </c>
      <c r="D12" s="16" t="s">
        <v>17</v>
      </c>
      <c r="E12" s="16">
        <v>13</v>
      </c>
      <c r="F12" s="16">
        <v>1</v>
      </c>
      <c r="G12" s="16" t="s">
        <v>19</v>
      </c>
      <c r="H12" s="23" t="s">
        <v>10</v>
      </c>
    </row>
    <row r="13" spans="1:14" x14ac:dyDescent="0.3">
      <c r="A13" s="22" t="s">
        <v>44</v>
      </c>
      <c r="B13" s="15" t="s">
        <v>28</v>
      </c>
      <c r="C13" s="16" t="s">
        <v>11</v>
      </c>
      <c r="D13" s="16" t="s">
        <v>17</v>
      </c>
      <c r="E13" s="16">
        <v>13</v>
      </c>
      <c r="F13" s="16">
        <v>1</v>
      </c>
      <c r="G13" s="16" t="s">
        <v>19</v>
      </c>
      <c r="H13" s="23" t="s">
        <v>10</v>
      </c>
    </row>
    <row r="14" spans="1:14" x14ac:dyDescent="0.3">
      <c r="A14" s="22" t="s">
        <v>45</v>
      </c>
      <c r="B14" s="15" t="s">
        <v>29</v>
      </c>
      <c r="C14" s="16" t="s">
        <v>11</v>
      </c>
      <c r="D14" s="16" t="s">
        <v>9</v>
      </c>
      <c r="E14" s="16">
        <v>3</v>
      </c>
      <c r="F14" s="16">
        <v>2</v>
      </c>
      <c r="G14" s="16" t="s">
        <v>19</v>
      </c>
      <c r="H14" s="23" t="s">
        <v>10</v>
      </c>
    </row>
    <row r="15" spans="1:14" x14ac:dyDescent="0.3">
      <c r="A15" s="22" t="s">
        <v>46</v>
      </c>
      <c r="B15" s="15" t="s">
        <v>30</v>
      </c>
      <c r="C15" s="16" t="s">
        <v>11</v>
      </c>
      <c r="D15" s="16" t="s">
        <v>12</v>
      </c>
      <c r="E15" s="16">
        <v>5</v>
      </c>
      <c r="F15" s="16">
        <v>2</v>
      </c>
      <c r="G15" s="16" t="s">
        <v>19</v>
      </c>
      <c r="H15" s="23" t="s">
        <v>13</v>
      </c>
    </row>
    <row r="16" spans="1:14" x14ac:dyDescent="0.3">
      <c r="A16" s="22" t="s">
        <v>47</v>
      </c>
      <c r="B16" s="17" t="s">
        <v>57</v>
      </c>
      <c r="C16" s="16" t="s">
        <v>11</v>
      </c>
      <c r="D16" s="16" t="s">
        <v>12</v>
      </c>
      <c r="E16" s="16">
        <v>5</v>
      </c>
      <c r="F16" s="16">
        <v>1</v>
      </c>
      <c r="G16" s="16" t="s">
        <v>19</v>
      </c>
      <c r="H16" s="23" t="s">
        <v>10</v>
      </c>
    </row>
    <row r="17" spans="1:8" x14ac:dyDescent="0.3">
      <c r="A17" s="22" t="s">
        <v>48</v>
      </c>
      <c r="B17" s="17" t="s">
        <v>58</v>
      </c>
      <c r="C17" s="16" t="s">
        <v>11</v>
      </c>
      <c r="D17" s="16" t="s">
        <v>12</v>
      </c>
      <c r="E17" s="16">
        <v>5</v>
      </c>
      <c r="F17" s="16">
        <v>1</v>
      </c>
      <c r="G17" s="16" t="s">
        <v>19</v>
      </c>
      <c r="H17" s="23" t="s">
        <v>10</v>
      </c>
    </row>
    <row r="18" spans="1:8" x14ac:dyDescent="0.3">
      <c r="A18" s="22" t="s">
        <v>70</v>
      </c>
      <c r="B18" s="17" t="s">
        <v>59</v>
      </c>
      <c r="C18" s="16" t="s">
        <v>11</v>
      </c>
      <c r="D18" s="16" t="s">
        <v>12</v>
      </c>
      <c r="E18" s="16">
        <v>5</v>
      </c>
      <c r="F18" s="16">
        <v>1</v>
      </c>
      <c r="G18" s="16" t="s">
        <v>19</v>
      </c>
      <c r="H18" s="23" t="s">
        <v>10</v>
      </c>
    </row>
    <row r="19" spans="1:8" x14ac:dyDescent="0.3">
      <c r="A19" s="22" t="s">
        <v>31</v>
      </c>
      <c r="B19" s="17" t="s">
        <v>59</v>
      </c>
      <c r="C19" s="16" t="s">
        <v>11</v>
      </c>
      <c r="D19" s="16" t="s">
        <v>12</v>
      </c>
      <c r="E19" s="16">
        <v>5</v>
      </c>
      <c r="F19" s="16">
        <v>1</v>
      </c>
      <c r="G19" s="16" t="s">
        <v>19</v>
      </c>
      <c r="H19" s="23" t="s">
        <v>10</v>
      </c>
    </row>
    <row r="20" spans="1:8" x14ac:dyDescent="0.3">
      <c r="A20" s="22" t="s">
        <v>49</v>
      </c>
      <c r="B20" s="17" t="s">
        <v>60</v>
      </c>
      <c r="C20" s="16" t="s">
        <v>11</v>
      </c>
      <c r="D20" s="16" t="s">
        <v>15</v>
      </c>
      <c r="E20" s="16">
        <v>8</v>
      </c>
      <c r="F20" s="16">
        <v>1</v>
      </c>
      <c r="G20" s="16" t="s">
        <v>19</v>
      </c>
      <c r="H20" s="23" t="s">
        <v>10</v>
      </c>
    </row>
    <row r="21" spans="1:8" x14ac:dyDescent="0.3">
      <c r="A21" s="22" t="s">
        <v>50</v>
      </c>
      <c r="B21" s="15" t="s">
        <v>34</v>
      </c>
      <c r="C21" s="16" t="s">
        <v>14</v>
      </c>
      <c r="D21" s="16" t="s">
        <v>18</v>
      </c>
      <c r="E21" s="16">
        <v>21</v>
      </c>
      <c r="F21" s="16">
        <v>3</v>
      </c>
      <c r="G21" s="16" t="s">
        <v>19</v>
      </c>
      <c r="H21" s="23" t="s">
        <v>13</v>
      </c>
    </row>
    <row r="22" spans="1:8" x14ac:dyDescent="0.3">
      <c r="A22" s="22" t="s">
        <v>52</v>
      </c>
      <c r="B22" s="15" t="s">
        <v>54</v>
      </c>
      <c r="C22" s="16" t="s">
        <v>11</v>
      </c>
      <c r="D22" s="16" t="s">
        <v>12</v>
      </c>
      <c r="E22" s="16">
        <v>5</v>
      </c>
      <c r="F22" s="16">
        <v>1</v>
      </c>
      <c r="G22" s="16" t="s">
        <v>19</v>
      </c>
      <c r="H22" s="23" t="s">
        <v>10</v>
      </c>
    </row>
    <row r="23" spans="1:8" x14ac:dyDescent="0.3">
      <c r="A23" s="22" t="s">
        <v>53</v>
      </c>
      <c r="B23" s="15" t="s">
        <v>55</v>
      </c>
      <c r="C23" s="16" t="s">
        <v>11</v>
      </c>
      <c r="D23" s="16" t="s">
        <v>12</v>
      </c>
      <c r="E23" s="16">
        <v>5</v>
      </c>
      <c r="F23" s="16">
        <v>1</v>
      </c>
      <c r="G23" s="16" t="s">
        <v>19</v>
      </c>
      <c r="H23" s="23" t="s">
        <v>10</v>
      </c>
    </row>
    <row r="24" spans="1:8" x14ac:dyDescent="0.3">
      <c r="A24" s="22" t="s">
        <v>61</v>
      </c>
      <c r="B24" s="15" t="s">
        <v>56</v>
      </c>
      <c r="C24" s="16" t="s">
        <v>11</v>
      </c>
      <c r="D24" s="16" t="s">
        <v>12</v>
      </c>
      <c r="E24" s="16">
        <v>5</v>
      </c>
      <c r="F24" s="16">
        <v>1</v>
      </c>
      <c r="G24" s="16" t="s">
        <v>19</v>
      </c>
      <c r="H24" s="23" t="s">
        <v>13</v>
      </c>
    </row>
    <row r="25" spans="1:8" x14ac:dyDescent="0.3">
      <c r="A25" s="24" t="s">
        <v>72</v>
      </c>
      <c r="B25" s="25" t="s">
        <v>73</v>
      </c>
      <c r="C25" s="26" t="s">
        <v>11</v>
      </c>
      <c r="D25" s="26" t="s">
        <v>12</v>
      </c>
      <c r="E25" s="26">
        <v>5</v>
      </c>
      <c r="F25" s="26">
        <v>1</v>
      </c>
      <c r="G25" s="26" t="s">
        <v>19</v>
      </c>
      <c r="H25" s="27" t="s">
        <v>13</v>
      </c>
    </row>
  </sheetData>
  <mergeCells count="1">
    <mergeCell ref="A1:H1"/>
  </mergeCells>
  <phoneticPr fontId="2" type="noConversion"/>
  <conditionalFormatting sqref="A3:H25">
    <cfRule type="expression" dxfId="1" priority="1">
      <formula>$H3="PENDENTE"</formula>
    </cfRule>
    <cfRule type="expression" dxfId="0" priority="2">
      <formula>$H3="ENTREGUE"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07DF318-D4FF-46E6-AD44-5B974E228003}">
          <x14:formula1>
            <xm:f>'Lista - Validações'!$B$2:$B$6</xm:f>
          </x14:formula1>
          <xm:sqref>D1:D1048576</xm:sqref>
        </x14:dataValidation>
        <x14:dataValidation type="list" allowBlank="1" showInputMessage="1" showErrorMessage="1" xr:uid="{DC31EDE0-5C84-436F-B818-BC049E91F8CE}">
          <x14:formula1>
            <xm:f>'Lista - Validações'!$C$2:$C$6</xm:f>
          </x14:formula1>
          <xm:sqref>E1:E1048576</xm:sqref>
        </x14:dataValidation>
        <x14:dataValidation type="list" allowBlank="1" showInputMessage="1" showErrorMessage="1" xr:uid="{67D89254-046B-4184-917E-55119CBC9943}">
          <x14:formula1>
            <xm:f>'Lista - Validações'!$A$2:$A$4</xm:f>
          </x14:formula1>
          <xm:sqref>C1:C1048576</xm:sqref>
        </x14:dataValidation>
        <x14:dataValidation type="list" allowBlank="1" showInputMessage="1" showErrorMessage="1" xr:uid="{BA2AEF4D-0ED1-471D-BF82-B2C2DF7F74A8}">
          <x14:formula1>
            <xm:f>'Lista - Validações'!$D$2:$D$4</xm:f>
          </x14:formula1>
          <xm:sqref>F1:F1048576</xm:sqref>
        </x14:dataValidation>
        <x14:dataValidation type="list" allowBlank="1" showInputMessage="1" showErrorMessage="1" xr:uid="{5478328A-7F2E-4546-B029-B58B4E22A392}">
          <x14:formula1>
            <xm:f>'Lista - Validações'!$E$2:$E$5</xm:f>
          </x14:formula1>
          <xm:sqref>G1:G1048576</xm:sqref>
        </x14:dataValidation>
        <x14:dataValidation type="list" allowBlank="1" showInputMessage="1" showErrorMessage="1" xr:uid="{BF92C423-2D49-413A-9A44-D24DC163B13A}">
          <x14:formula1>
            <xm:f>'Lista - Validações'!$F$2:$F$3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1F20-5CB4-437C-A32E-7BDF1EF31B1F}">
  <dimension ref="A1:F14"/>
  <sheetViews>
    <sheetView showGridLines="0" workbookViewId="0">
      <selection activeCell="Q9" sqref="Q9"/>
    </sheetView>
  </sheetViews>
  <sheetFormatPr defaultRowHeight="14.4" x14ac:dyDescent="0.3"/>
  <cols>
    <col min="1" max="1" width="14.6640625" bestFit="1" customWidth="1"/>
    <col min="2" max="2" width="9.5546875" bestFit="1" customWidth="1"/>
    <col min="3" max="3" width="8.21875" bestFit="1" customWidth="1"/>
    <col min="4" max="4" width="11.33203125" bestFit="1" customWidth="1"/>
    <col min="5" max="5" width="7.109375" bestFit="1" customWidth="1"/>
    <col min="6" max="6" width="9.88671875" bestFit="1" customWidth="1"/>
  </cols>
  <sheetData>
    <row r="1" spans="1:6" x14ac:dyDescent="0.3">
      <c r="A1" s="2" t="s">
        <v>2</v>
      </c>
      <c r="B1" s="2" t="s">
        <v>3</v>
      </c>
      <c r="C1" s="2" t="s">
        <v>8</v>
      </c>
      <c r="D1" s="2" t="s">
        <v>5</v>
      </c>
      <c r="E1" s="2" t="s">
        <v>6</v>
      </c>
      <c r="F1" s="2" t="s">
        <v>7</v>
      </c>
    </row>
    <row r="2" spans="1:6" x14ac:dyDescent="0.3">
      <c r="A2" s="3" t="s">
        <v>11</v>
      </c>
      <c r="B2" s="3" t="s">
        <v>9</v>
      </c>
      <c r="C2" s="3">
        <v>3</v>
      </c>
      <c r="D2" s="3">
        <v>1</v>
      </c>
      <c r="E2" s="3" t="s">
        <v>19</v>
      </c>
      <c r="F2" s="3" t="s">
        <v>10</v>
      </c>
    </row>
    <row r="3" spans="1:6" x14ac:dyDescent="0.3">
      <c r="A3" s="3" t="s">
        <v>14</v>
      </c>
      <c r="B3" s="3" t="s">
        <v>12</v>
      </c>
      <c r="C3" s="3">
        <v>5</v>
      </c>
      <c r="D3" s="3">
        <v>2</v>
      </c>
      <c r="E3" s="3" t="s">
        <v>20</v>
      </c>
      <c r="F3" s="3" t="s">
        <v>13</v>
      </c>
    </row>
    <row r="4" spans="1:6" x14ac:dyDescent="0.3">
      <c r="A4" s="3" t="s">
        <v>16</v>
      </c>
      <c r="B4" s="3" t="s">
        <v>15</v>
      </c>
      <c r="C4" s="3">
        <v>8</v>
      </c>
      <c r="D4" s="3">
        <v>3</v>
      </c>
      <c r="E4" s="3" t="s">
        <v>21</v>
      </c>
      <c r="F4" s="3"/>
    </row>
    <row r="5" spans="1:6" x14ac:dyDescent="0.3">
      <c r="A5" s="3"/>
      <c r="B5" s="3" t="s">
        <v>17</v>
      </c>
      <c r="C5" s="3">
        <v>13</v>
      </c>
      <c r="D5" s="3"/>
      <c r="E5" s="3"/>
      <c r="F5" s="3"/>
    </row>
    <row r="6" spans="1:6" x14ac:dyDescent="0.3">
      <c r="A6" s="3"/>
      <c r="B6" s="3" t="s">
        <v>18</v>
      </c>
      <c r="C6" s="3">
        <v>21</v>
      </c>
      <c r="D6" s="3"/>
      <c r="E6" s="3"/>
      <c r="F6" s="3"/>
    </row>
    <row r="11" spans="1:6" x14ac:dyDescent="0.3">
      <c r="A11" s="13" t="s">
        <v>66</v>
      </c>
      <c r="B11" s="13" t="s">
        <v>67</v>
      </c>
      <c r="C11" s="13" t="s">
        <v>68</v>
      </c>
    </row>
    <row r="12" spans="1:6" x14ac:dyDescent="0.3">
      <c r="A12" s="10" t="s">
        <v>19</v>
      </c>
      <c r="B12" s="10">
        <f>Backlog!L4</f>
        <v>145</v>
      </c>
      <c r="C12" s="10">
        <f>Backlog!M4</f>
        <v>101</v>
      </c>
    </row>
    <row r="13" spans="1:6" x14ac:dyDescent="0.3">
      <c r="A13" s="10" t="s">
        <v>20</v>
      </c>
      <c r="B13" s="10">
        <f>Backlog!L5</f>
        <v>0</v>
      </c>
      <c r="C13" s="10">
        <f>Backlog!M5</f>
        <v>0</v>
      </c>
    </row>
    <row r="14" spans="1:6" x14ac:dyDescent="0.3">
      <c r="A14" s="10" t="s">
        <v>21</v>
      </c>
      <c r="B14" s="10">
        <f>Backlog!L6</f>
        <v>0</v>
      </c>
      <c r="C14" s="10">
        <f>Backlog!M6</f>
        <v>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Lista - Validações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Vicky Mendonça</dc:creator>
  <cp:lastModifiedBy>Samara Vicky Mendonça</cp:lastModifiedBy>
  <dcterms:created xsi:type="dcterms:W3CDTF">2026-02-17T14:33:15Z</dcterms:created>
  <dcterms:modified xsi:type="dcterms:W3CDTF">2026-03-09T19:33:44Z</dcterms:modified>
</cp:coreProperties>
</file>